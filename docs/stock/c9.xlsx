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15216" windowHeight="706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9" i="1" l="1"/>
  <c r="G117" i="1"/>
  <c r="G78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G37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<sst xmlns="http://schemas.openxmlformats.org/spreadsheetml/2006/main" count="235" uniqueCount="219">
  <si>
    <t>Codigo</t>
  </si>
  <si>
    <t>Descripcion</t>
  </si>
  <si>
    <t>Caja</t>
  </si>
  <si>
    <t>Cantidad</t>
  </si>
  <si>
    <t>Precio</t>
  </si>
  <si>
    <t>Importe</t>
  </si>
  <si>
    <t>BB9944456</t>
  </si>
  <si>
    <t>TUBO HEX.LAR.(E.1/4) 8mm CROS</t>
  </si>
  <si>
    <t>BB9942604</t>
  </si>
  <si>
    <t>ADAPTADOR TUBO 1/2H X 3/8M CROS</t>
  </si>
  <si>
    <t>BB9944220</t>
  </si>
  <si>
    <t>TUBO HEX.(E.1/4) 10mm CROS</t>
  </si>
  <si>
    <t>BB9942261</t>
  </si>
  <si>
    <t>CRIQUE (E.1/4)x150mm - CURVA CROS</t>
  </si>
  <si>
    <t>BB9942284</t>
  </si>
  <si>
    <t>MOVIMIENTO UNIVERSAL ART (E.1/4) CROS</t>
  </si>
  <si>
    <t>BB9946008</t>
  </si>
  <si>
    <t>TUBO HEX.(E.1/2) 10mm CROS</t>
  </si>
  <si>
    <t>BB9946380</t>
  </si>
  <si>
    <t>TUBO HEX.LAR.(E.1/2) 18mm CROS</t>
  </si>
  <si>
    <t>BB9942232</t>
  </si>
  <si>
    <t>BA.EXTENSION (E.1/4) 76.2mm CROS</t>
  </si>
  <si>
    <t>BB9942630</t>
  </si>
  <si>
    <t>BA.EXTENSION (E.1/2) 63.5mm CROS</t>
  </si>
  <si>
    <t>BB9944462</t>
  </si>
  <si>
    <t>TUBO HEX.LAR.(E.1/4) 11mm CROS</t>
  </si>
  <si>
    <t>BB9942204</t>
  </si>
  <si>
    <t>ADAPTADOR TUBO 1/4H X 3/8M CROS</t>
  </si>
  <si>
    <t>BB9949840</t>
  </si>
  <si>
    <t>TUBO TORX HEMBRA (E.1/2) E-12 CROS</t>
  </si>
  <si>
    <t>BB9944222</t>
  </si>
  <si>
    <t>TUBO HEX.(E.1/4) 11mm CROS</t>
  </si>
  <si>
    <t>BB9944216</t>
  </si>
  <si>
    <t>TUBO HEX.(E.1/4) 8mm CROS</t>
  </si>
  <si>
    <t>BB9942238</t>
  </si>
  <si>
    <t>BA.EXTENSION (E.1/4) 254mm CROS</t>
  </si>
  <si>
    <t>BB9942484</t>
  </si>
  <si>
    <t>MOVIMIENTO UNIVERSAL ART (E.3/8) CROS</t>
  </si>
  <si>
    <t>RU25003</t>
  </si>
  <si>
    <t>JGO DE 12 TUBOS LARGOS (E.1/4) RUH</t>
  </si>
  <si>
    <t>BB9946846</t>
  </si>
  <si>
    <t>JGO DE 11 TUBOS Y ACC (E.1/2) MM CROS</t>
  </si>
  <si>
    <t>RU43151</t>
  </si>
  <si>
    <t>JGO DE 3 TUBOS EXT AMORTIGUADOR T C</t>
  </si>
  <si>
    <t>RU43000</t>
  </si>
  <si>
    <t>JGO DE 3 LLAVES COMBINADAS P/FRENOS</t>
  </si>
  <si>
    <t>RU10455</t>
  </si>
  <si>
    <t>TUBO PUNTA MULTI ESTRIAS 4Pz (E.1/2) 7-1</t>
  </si>
  <si>
    <t>RU24006</t>
  </si>
  <si>
    <t>JGO DE 4 PUNTAS TORX T30/40 CORTA LAF</t>
  </si>
  <si>
    <t>THT106192</t>
  </si>
  <si>
    <t>JGO DE 9 LLAVES ALLEN LARGAS IND TOTA</t>
  </si>
  <si>
    <t>RU5351</t>
  </si>
  <si>
    <t>JGO DE 6 LLAVES COMBINADAS LARGAS C</t>
  </si>
  <si>
    <t>BB9942940</t>
  </si>
  <si>
    <t>JGO DE 8 LLAVES ALLEN 1.5 A 8mm CROS</t>
  </si>
  <si>
    <t>RU43702</t>
  </si>
  <si>
    <t>TUBO P/INYECTOR ENC.1/2-6 PT RUH</t>
  </si>
  <si>
    <t>RU10221</t>
  </si>
  <si>
    <t>TUBO TORX ALTO IMP.(E.1/2) 40 RUH</t>
  </si>
  <si>
    <t>RU43703</t>
  </si>
  <si>
    <t>LLAVE ARTICULADA P/SONDA LAMBDA RUH</t>
  </si>
  <si>
    <t>RU43063</t>
  </si>
  <si>
    <t>JGO DE 17 TUBOS TAPON CARTER RUH</t>
  </si>
  <si>
    <t>RU25030</t>
  </si>
  <si>
    <t>JGO DE 10 TUBOS ALTO IMPACTO (E.1/2) RI</t>
  </si>
  <si>
    <t>RU25032</t>
  </si>
  <si>
    <t>JGO DE 9 TUBOS LARGOS (E.1/4) RUH</t>
  </si>
  <si>
    <t>BB9941386</t>
  </si>
  <si>
    <t>JGO DE 15 PUNTAS TORX T20 A T55 CROS</t>
  </si>
  <si>
    <t>RU43190</t>
  </si>
  <si>
    <t>KIT DE 150 ARANDELAS DE COBRE SURTID</t>
  </si>
  <si>
    <t>RU22001</t>
  </si>
  <si>
    <t>JGO DE 27 LLAVE CRIQUE PUNTAS Y TUBC</t>
  </si>
  <si>
    <t>c9 1</t>
  </si>
  <si>
    <t>c9 2</t>
  </si>
  <si>
    <t>BB9946042</t>
  </si>
  <si>
    <t>TUBO HEX.(E.1/2) 27mm CROS</t>
  </si>
  <si>
    <t>BB9946050</t>
  </si>
  <si>
    <t>TUBO HEX.(E.1/2) 32mm CROS</t>
  </si>
  <si>
    <t>BB9946370</t>
  </si>
  <si>
    <t>TUBO HEX.LAR.(E.1/2) 13mm CROS</t>
  </si>
  <si>
    <t>BB9946382</t>
  </si>
  <si>
    <t>TUBO HEX.LAR.(E.1/2) 19mm CROS</t>
  </si>
  <si>
    <t>BB9946840</t>
  </si>
  <si>
    <t>JGO DE 10 TUBOS Y ACC (E.1/2) MM CROS</t>
  </si>
  <si>
    <t>BB9948044</t>
  </si>
  <si>
    <t>TUBO HEX.(E.3/4) 46mm CROS</t>
  </si>
  <si>
    <t>BB9948046</t>
  </si>
  <si>
    <t>TUBO HEX.(E.3/4) 50mm CROS</t>
  </si>
  <si>
    <t>BB9949640</t>
  </si>
  <si>
    <t>TUBO PUNTA ALLEN (E.1/2) 14mm CROS</t>
  </si>
  <si>
    <t>BB9949642</t>
  </si>
  <si>
    <t>TUBO PUNTA ALLEN (E.1/2) 17mm CROS</t>
  </si>
  <si>
    <t>BB9960112</t>
  </si>
  <si>
    <t>LLAVE COMBINADA 10mm CROS</t>
  </si>
  <si>
    <t>BB9960118</t>
  </si>
  <si>
    <t>LLAVE COMBINADA 13mm CROS</t>
  </si>
  <si>
    <t>RU22003</t>
  </si>
  <si>
    <t>JGO DE 28 PUNTAS Y TUBOS C/CRIQUE PA</t>
  </si>
  <si>
    <t>RU24003</t>
  </si>
  <si>
    <t>JGO DE 15 PUNTAS TORX (E.1/2) BLISTER F</t>
  </si>
  <si>
    <t>RU2703</t>
  </si>
  <si>
    <t>TUBO SACABUJIAS 16mm CARDANICO 100r</t>
  </si>
  <si>
    <t>RU30303</t>
  </si>
  <si>
    <t>JGO DE 4 LLAVES TORX HEMBRA RUH</t>
  </si>
  <si>
    <t>RU30503</t>
  </si>
  <si>
    <t>JGO DE 9 LLAVES ALLEN PU RUH</t>
  </si>
  <si>
    <t>RU43008</t>
  </si>
  <si>
    <t>JGO DE 3 LLAVES ESTRIDAS P/CORREAS P</t>
  </si>
  <si>
    <t>RU43140</t>
  </si>
  <si>
    <t>JGO DE 10 LLAVES PATA DE CABRA 3/8 DE</t>
  </si>
  <si>
    <t>RU5002</t>
  </si>
  <si>
    <t>LLAVE COMBINADA 8 mm RUH</t>
  </si>
  <si>
    <t>RU6900</t>
  </si>
  <si>
    <t>DESTORN IMPACTO PH 2 RUH</t>
  </si>
  <si>
    <t>AC200038</t>
  </si>
  <si>
    <t>RUCCI-LLAVE T HEX MM 6MM</t>
  </si>
  <si>
    <t>AC200039</t>
  </si>
  <si>
    <t>RUCCI-LLAVE T HEX MM 7MM</t>
  </si>
  <si>
    <t>AC200041</t>
  </si>
  <si>
    <t>RUCCI-LLAVE T HEX MM 9MM</t>
  </si>
  <si>
    <t>AC200044</t>
  </si>
  <si>
    <t>RUCCI-LLAVE T HEX MM 12MM</t>
  </si>
  <si>
    <t>AC200133</t>
  </si>
  <si>
    <t>RUCCI-LLAVE T ALLEN 8mm</t>
  </si>
  <si>
    <t>BB9920182</t>
  </si>
  <si>
    <t>MOVIMIENTO UNIVERSAL ART IMP.(E.1/2) C</t>
  </si>
  <si>
    <t>BB9942236</t>
  </si>
  <si>
    <t>BA.EXTENSION (E.1/4) 152.4mm CROS</t>
  </si>
  <si>
    <t>BB9942266</t>
  </si>
  <si>
    <t>MANGO DESLIZANTE "T" (E.1/4) CROS</t>
  </si>
  <si>
    <t>BB9942406</t>
  </si>
  <si>
    <t>ADAPTADOR TUBO 3/8H X 1/2M CROS</t>
  </si>
  <si>
    <t>BB9942444</t>
  </si>
  <si>
    <t>MANGO ARTICULADO (E.3/8) 203mm CROS</t>
  </si>
  <si>
    <t>BB9942634</t>
  </si>
  <si>
    <t>BA.EXTENSION (E.1/2) 254mm CROS</t>
  </si>
  <si>
    <t>BB9942636</t>
  </si>
  <si>
    <t>MANGO FUERZA ART (E.1/2) 254mm 10" CRC</t>
  </si>
  <si>
    <t>BB9942661</t>
  </si>
  <si>
    <t>CRIQUE E.1/2 266mm CURVA CROS</t>
  </si>
  <si>
    <t>BB9942804</t>
  </si>
  <si>
    <t>ADAPTADOR TUBO 3/4H X 1/2M CROS</t>
  </si>
  <si>
    <t>BB9943574</t>
  </si>
  <si>
    <t>JGO DE 8 LLAVES TORX T9 A T40 CROS</t>
  </si>
  <si>
    <t>BB9944460</t>
  </si>
  <si>
    <t>TUBO HEX.LAR.(E.1/4) 10mm CROS</t>
  </si>
  <si>
    <t>C9 3</t>
  </si>
  <si>
    <t>RU43130</t>
  </si>
  <si>
    <t>PROBADOR DE FUGA DE RADIADORES 18 I</t>
  </si>
  <si>
    <t>RU43108</t>
  </si>
  <si>
    <t>KIT BOMBA VACIO TIPO MITIVAC RUH</t>
  </si>
  <si>
    <t>RU48109</t>
  </si>
  <si>
    <t>PROBADOR DE CIRCUITOS ELECTRICO RU</t>
  </si>
  <si>
    <t>RU43127</t>
  </si>
  <si>
    <t>KIT PURGADOR NEUM.SIST.FRENO Y EMBF</t>
  </si>
  <si>
    <t>RU21018</t>
  </si>
  <si>
    <t>BANDEJA SILICONADA MAG 15,8 x 13,2 CM</t>
  </si>
  <si>
    <t>RU8543</t>
  </si>
  <si>
    <t>KIT DE ACCES P/MINITORNO DE 418 Pz RUI</t>
  </si>
  <si>
    <t>RU8541</t>
  </si>
  <si>
    <t>JGO DE 276 ACCESORIOS P/MINI TORNO</t>
  </si>
  <si>
    <t>RU48061</t>
  </si>
  <si>
    <t>MULTIMETRO DIGITAL 295 RUH</t>
  </si>
  <si>
    <t>JMHSS19PZ-9</t>
  </si>
  <si>
    <t>JGO MECHA A.RAPIDO 19 PZ.(1 A 10mm) LU</t>
  </si>
  <si>
    <t>RU43003</t>
  </si>
  <si>
    <t>EXTACTOR PRECAP HELIC.33/42 mm RUH</t>
  </si>
  <si>
    <t>RU43021</t>
  </si>
  <si>
    <t>INSERTO 15 Pz M 6 X 1 RUH</t>
  </si>
  <si>
    <t>BB9949910</t>
  </si>
  <si>
    <t>JGO DE 150 TUBOS Y ACC (E.1/4-1/2-3/8) CF</t>
  </si>
  <si>
    <t>TIWLI20854</t>
  </si>
  <si>
    <t>LLAVE IMPACTO A BAT 850Nm 20V MAL-CAF</t>
  </si>
  <si>
    <t>RU30004</t>
  </si>
  <si>
    <t>LLAVE COMB.CRIQUE CORTA 1/4" RUH</t>
  </si>
  <si>
    <t>RU30006</t>
  </si>
  <si>
    <t>LLAVE CRIQUE CORTA 1/2" RUH</t>
  </si>
  <si>
    <t>RU30005</t>
  </si>
  <si>
    <t>LLAVE CRIQUE CORTA 3/8" RUH</t>
  </si>
  <si>
    <t>RU30009</t>
  </si>
  <si>
    <t>LLAVE CRIQUE CORTA ARTIC 1/2" RUH</t>
  </si>
  <si>
    <t>RU30022</t>
  </si>
  <si>
    <t>LLAVE CRIQUE T/S 1/4" RUH</t>
  </si>
  <si>
    <t>RU30031</t>
  </si>
  <si>
    <t>LLAVE CRIQ.LARGA ARTIC 1/2" RUH</t>
  </si>
  <si>
    <t>RU30018</t>
  </si>
  <si>
    <t>LLAVE CRIQ.PROF.EXTENS.1/2" RUH</t>
  </si>
  <si>
    <t>RU30016</t>
  </si>
  <si>
    <t>LLAVE CRIQUE PROF.EXTENS.1/4" RUH</t>
  </si>
  <si>
    <t>AC200045</t>
  </si>
  <si>
    <t>RUCCI-LLAVE T HEX MM 13MM</t>
  </si>
  <si>
    <t>AC200042</t>
  </si>
  <si>
    <t>RUCCI-LLAVE T HEX MM 10MM</t>
  </si>
  <si>
    <t>RU30011</t>
  </si>
  <si>
    <t>LLAVE CRIQUE DE PALMA DUAL (E.1/4-3/8) I</t>
  </si>
  <si>
    <t>RU5200</t>
  </si>
  <si>
    <t>LLAVE COMB.CORTA C/CRIQUE 8mm RUH</t>
  </si>
  <si>
    <t>RU5203</t>
  </si>
  <si>
    <t>LLAVE COMB.CORTA C/CRIQUE 11mm RUH</t>
  </si>
  <si>
    <t>RU5204</t>
  </si>
  <si>
    <t>LLAVE COMB.CORTA C/CRIQUE 12mm RUH</t>
  </si>
  <si>
    <t>RU5206</t>
  </si>
  <si>
    <t>LLAVE COMB.CORTA C/CRIQUE 14mm RUH</t>
  </si>
  <si>
    <t>RU5207</t>
  </si>
  <si>
    <t>LLAVE COMBINADA CORTA C/CRIQUE 15mm</t>
  </si>
  <si>
    <t>RU5208</t>
  </si>
  <si>
    <t>LLAVE COMB.CORTA C/CRIQUE 17mm RUH</t>
  </si>
  <si>
    <t>RU30012</t>
  </si>
  <si>
    <t>LLAVE CRIQUE PALMA (E.1/2) RUH</t>
  </si>
  <si>
    <t>RU6705</t>
  </si>
  <si>
    <t>DESTORNILLADOR PLEGABLE RUH</t>
  </si>
  <si>
    <t>BB9946376</t>
  </si>
  <si>
    <t>TUBO HEX.LAR.(E.1/2) 16mm CROS</t>
  </si>
  <si>
    <t>RU30003</t>
  </si>
  <si>
    <t>LLAVE CRIQ.ART.1/4 P/PTAS/TUBOS RUH</t>
  </si>
  <si>
    <t>BB9946022</t>
  </si>
  <si>
    <t>TUBO HEX.(E.1/2) 17mm 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</si>
</sst>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topLeftCell="A64" workbookViewId="0">
      <selection activeCell="F119" sqref="F119"/>
    </sheetView>
  </sheetViews>
  <sheetFormatPr baseColWidth="10" defaultRowHeight="14.4" x14ac:dyDescent="0.3"/>
  <cols>
    <col min="1" max="1" width="12.44140625" customWidth="1"/>
    <col min="2" max="2" width="40.88671875" customWidth="1"/>
    <col min="3" max="3" width="6.109375" customWidth="1"/>
    <col min="4" max="4" width="9.77734375" customWidth="1"/>
    <col min="5" max="6" width="17" customWidth="1"/>
    <col min="7" max="7" width="1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">
      <c r="A2" t="s">
        <v>74</v>
      </c>
      <c r="E2" s="1"/>
      <c r="F2" s="1"/>
    </row>
    <row r="3" spans="1:6" x14ac:dyDescent="0.3">
      <c r="A3" t="s">
        <v>6</v>
      </c>
      <c r="B3" t="s">
        <v>7</v>
      </c>
      <c r="C3">
        <v>9</v>
      </c>
      <c r="D3">
        <v>1</v>
      </c>
      <c r="E3" s="1">
        <f>F3/D3</f>
        <v>1459.07</v>
      </c>
      <c r="F3" s="1">
        <v>1459.07</v>
      </c>
    </row>
    <row r="4" spans="1:6" x14ac:dyDescent="0.3">
      <c r="A4" t="s">
        <v>8</v>
      </c>
      <c r="B4" t="s">
        <v>9</v>
      </c>
      <c r="C4">
        <v>9</v>
      </c>
      <c r="D4">
        <v>1</v>
      </c>
      <c r="E4" s="1">
        <f t="shared" ref="E4:E22" si="0">F4/D4</f>
        <v>2877.08</v>
      </c>
      <c r="F4" s="1">
        <v>2877.08</v>
      </c>
    </row>
    <row r="5" spans="1:6" x14ac:dyDescent="0.3">
      <c r="A5" t="s">
        <v>10</v>
      </c>
      <c r="B5" t="s">
        <v>11</v>
      </c>
      <c r="C5">
        <v>9</v>
      </c>
      <c r="D5">
        <v>5</v>
      </c>
      <c r="E5" s="1">
        <f t="shared" si="0"/>
        <v>1136.19</v>
      </c>
      <c r="F5" s="1">
        <v>5680.95</v>
      </c>
    </row>
    <row r="6" spans="1:6" x14ac:dyDescent="0.3">
      <c r="A6" t="s">
        <v>12</v>
      </c>
      <c r="B6" t="s">
        <v>13</v>
      </c>
      <c r="C6">
        <v>9</v>
      </c>
      <c r="D6">
        <v>1</v>
      </c>
      <c r="E6" s="1">
        <f t="shared" si="0"/>
        <v>15852.21</v>
      </c>
      <c r="F6" s="1">
        <v>15852.21</v>
      </c>
    </row>
    <row r="7" spans="1:6" x14ac:dyDescent="0.3">
      <c r="A7" t="s">
        <v>14</v>
      </c>
      <c r="B7" t="s">
        <v>15</v>
      </c>
      <c r="C7">
        <v>9</v>
      </c>
      <c r="D7">
        <v>1</v>
      </c>
      <c r="E7" s="1">
        <f t="shared" si="0"/>
        <v>4069.85</v>
      </c>
      <c r="F7" s="1">
        <v>4069.85</v>
      </c>
    </row>
    <row r="8" spans="1:6" x14ac:dyDescent="0.3">
      <c r="A8" t="s">
        <v>16</v>
      </c>
      <c r="B8" t="s">
        <v>17</v>
      </c>
      <c r="C8">
        <v>9</v>
      </c>
      <c r="D8">
        <v>2</v>
      </c>
      <c r="E8" s="1">
        <f t="shared" si="0"/>
        <v>2227.9899999999998</v>
      </c>
      <c r="F8" s="1">
        <v>4455.9799999999996</v>
      </c>
    </row>
    <row r="9" spans="1:6" x14ac:dyDescent="0.3">
      <c r="A9" t="s">
        <v>18</v>
      </c>
      <c r="B9" t="s">
        <v>19</v>
      </c>
      <c r="C9">
        <v>9</v>
      </c>
      <c r="D9">
        <v>1</v>
      </c>
      <c r="E9" s="1">
        <f t="shared" si="0"/>
        <v>4615.75</v>
      </c>
      <c r="F9" s="1">
        <v>4615.75</v>
      </c>
    </row>
    <row r="10" spans="1:6" x14ac:dyDescent="0.3">
      <c r="A10" t="s">
        <v>20</v>
      </c>
      <c r="B10" t="s">
        <v>21</v>
      </c>
      <c r="C10">
        <v>9</v>
      </c>
      <c r="D10">
        <v>1</v>
      </c>
      <c r="E10" s="1">
        <f t="shared" si="0"/>
        <v>1899.55</v>
      </c>
      <c r="F10" s="1">
        <v>1899.55</v>
      </c>
    </row>
    <row r="11" spans="1:6" x14ac:dyDescent="0.3">
      <c r="A11" t="s">
        <v>22</v>
      </c>
      <c r="B11" t="s">
        <v>23</v>
      </c>
      <c r="C11">
        <v>9</v>
      </c>
      <c r="D11">
        <v>2</v>
      </c>
      <c r="E11" s="1">
        <f t="shared" si="0"/>
        <v>3865.68</v>
      </c>
      <c r="F11" s="1">
        <v>7731.36</v>
      </c>
    </row>
    <row r="12" spans="1:6" x14ac:dyDescent="0.3">
      <c r="A12" t="s">
        <v>24</v>
      </c>
      <c r="B12" t="s">
        <v>25</v>
      </c>
      <c r="C12">
        <v>9</v>
      </c>
      <c r="D12">
        <v>1</v>
      </c>
      <c r="E12" s="1">
        <f t="shared" si="0"/>
        <v>1815.23</v>
      </c>
      <c r="F12" s="1">
        <v>1815.23</v>
      </c>
    </row>
    <row r="13" spans="1:6" x14ac:dyDescent="0.3">
      <c r="A13" t="s">
        <v>26</v>
      </c>
      <c r="B13" t="s">
        <v>27</v>
      </c>
      <c r="C13">
        <v>9</v>
      </c>
      <c r="D13">
        <v>1</v>
      </c>
      <c r="E13" s="1">
        <f t="shared" si="0"/>
        <v>1950.59</v>
      </c>
      <c r="F13" s="1">
        <v>1950.59</v>
      </c>
    </row>
    <row r="14" spans="1:6" x14ac:dyDescent="0.3">
      <c r="A14" t="s">
        <v>28</v>
      </c>
      <c r="B14" t="s">
        <v>29</v>
      </c>
      <c r="C14">
        <v>9</v>
      </c>
      <c r="D14">
        <v>1</v>
      </c>
      <c r="E14" s="1">
        <f t="shared" si="0"/>
        <v>2554.1999999999998</v>
      </c>
      <c r="F14" s="1">
        <v>2554.1999999999998</v>
      </c>
    </row>
    <row r="15" spans="1:6" x14ac:dyDescent="0.3">
      <c r="A15" t="s">
        <v>30</v>
      </c>
      <c r="B15" t="s">
        <v>31</v>
      </c>
      <c r="C15">
        <v>9</v>
      </c>
      <c r="D15">
        <v>1</v>
      </c>
      <c r="E15" s="1">
        <f t="shared" si="0"/>
        <v>1214.96</v>
      </c>
      <c r="F15" s="1">
        <v>1214.96</v>
      </c>
    </row>
    <row r="16" spans="1:6" x14ac:dyDescent="0.3">
      <c r="A16" t="s">
        <v>32</v>
      </c>
      <c r="B16" t="s">
        <v>33</v>
      </c>
      <c r="C16">
        <v>9</v>
      </c>
      <c r="D16">
        <v>1</v>
      </c>
      <c r="E16" s="1">
        <f t="shared" si="0"/>
        <v>1047.42</v>
      </c>
      <c r="F16" s="1">
        <v>1047.42</v>
      </c>
    </row>
    <row r="17" spans="1:6" x14ac:dyDescent="0.3">
      <c r="A17" t="s">
        <v>34</v>
      </c>
      <c r="B17" t="s">
        <v>35</v>
      </c>
      <c r="C17">
        <v>9</v>
      </c>
      <c r="D17">
        <v>1</v>
      </c>
      <c r="E17" s="1">
        <f t="shared" si="0"/>
        <v>4718.9399999999996</v>
      </c>
      <c r="F17" s="1">
        <v>4718.9399999999996</v>
      </c>
    </row>
    <row r="18" spans="1:6" x14ac:dyDescent="0.3">
      <c r="A18" t="s">
        <v>36</v>
      </c>
      <c r="B18" t="s">
        <v>37</v>
      </c>
      <c r="C18">
        <v>9</v>
      </c>
      <c r="D18">
        <v>1</v>
      </c>
      <c r="E18" s="1">
        <f t="shared" si="0"/>
        <v>5842.92</v>
      </c>
      <c r="F18" s="1">
        <v>5842.92</v>
      </c>
    </row>
    <row r="19" spans="1:6" x14ac:dyDescent="0.3">
      <c r="A19" t="s">
        <v>38</v>
      </c>
      <c r="B19" t="s">
        <v>39</v>
      </c>
      <c r="C19">
        <v>9</v>
      </c>
      <c r="D19">
        <v>1</v>
      </c>
      <c r="E19" s="1">
        <f t="shared" si="0"/>
        <v>33894.410000000003</v>
      </c>
      <c r="F19" s="1">
        <v>33894.410000000003</v>
      </c>
    </row>
    <row r="20" spans="1:6" x14ac:dyDescent="0.3">
      <c r="A20" t="s">
        <v>40</v>
      </c>
      <c r="B20" t="s">
        <v>41</v>
      </c>
      <c r="C20">
        <v>9</v>
      </c>
      <c r="D20">
        <v>1</v>
      </c>
      <c r="E20" s="1">
        <f t="shared" si="0"/>
        <v>54137.4</v>
      </c>
      <c r="F20" s="1">
        <v>54137.4</v>
      </c>
    </row>
    <row r="21" spans="1:6" x14ac:dyDescent="0.3">
      <c r="A21" t="s">
        <v>42</v>
      </c>
      <c r="B21" t="s">
        <v>43</v>
      </c>
      <c r="C21">
        <v>9</v>
      </c>
      <c r="D21">
        <v>1</v>
      </c>
      <c r="E21" s="1">
        <f t="shared" si="0"/>
        <v>24914.49</v>
      </c>
      <c r="F21" s="1">
        <v>24914.49</v>
      </c>
    </row>
    <row r="22" spans="1:6" x14ac:dyDescent="0.3">
      <c r="A22" t="s">
        <v>44</v>
      </c>
      <c r="B22" t="s">
        <v>45</v>
      </c>
      <c r="C22">
        <v>9</v>
      </c>
      <c r="D22">
        <v>1</v>
      </c>
      <c r="E22" s="1">
        <f t="shared" si="0"/>
        <v>21000.71</v>
      </c>
      <c r="F22" s="1">
        <v>21000.71</v>
      </c>
    </row>
    <row r="23" spans="1:6" x14ac:dyDescent="0.3">
      <c r="A23" t="s">
        <v>46</v>
      </c>
      <c r="B23" t="s">
        <v>47</v>
      </c>
      <c r="C23">
        <v>9</v>
      </c>
      <c r="D23">
        <v>1</v>
      </c>
      <c r="E23" s="1">
        <v>11072.94</v>
      </c>
      <c r="F23" s="1">
        <v>11072.94</v>
      </c>
    </row>
    <row r="24" spans="1:6" x14ac:dyDescent="0.3">
      <c r="A24" t="s">
        <v>48</v>
      </c>
      <c r="B24" t="s">
        <v>49</v>
      </c>
      <c r="C24">
        <v>9</v>
      </c>
      <c r="D24">
        <v>1</v>
      </c>
      <c r="E24" s="1">
        <v>6416.92</v>
      </c>
      <c r="F24" s="1">
        <v>6416.92</v>
      </c>
    </row>
    <row r="25" spans="1:6" x14ac:dyDescent="0.3">
      <c r="A25" t="s">
        <v>50</v>
      </c>
      <c r="B25" t="s">
        <v>51</v>
      </c>
      <c r="C25">
        <v>9</v>
      </c>
      <c r="D25">
        <v>1</v>
      </c>
      <c r="E25" s="1">
        <v>14047.28</v>
      </c>
      <c r="F25" s="1">
        <v>14047.28</v>
      </c>
    </row>
    <row r="26" spans="1:6" x14ac:dyDescent="0.3">
      <c r="A26" t="s">
        <v>52</v>
      </c>
      <c r="B26" t="s">
        <v>53</v>
      </c>
      <c r="C26">
        <v>9</v>
      </c>
      <c r="D26">
        <v>1</v>
      </c>
      <c r="E26" s="1">
        <v>60218.18</v>
      </c>
      <c r="F26" s="1">
        <v>60218.18</v>
      </c>
    </row>
    <row r="27" spans="1:6" x14ac:dyDescent="0.3">
      <c r="A27" t="s">
        <v>54</v>
      </c>
      <c r="B27" t="s">
        <v>55</v>
      </c>
      <c r="C27">
        <v>9</v>
      </c>
      <c r="D27">
        <v>1</v>
      </c>
      <c r="E27" s="1">
        <v>10468.65</v>
      </c>
      <c r="F27" s="1">
        <v>10468.65</v>
      </c>
    </row>
    <row r="28" spans="1:6" x14ac:dyDescent="0.3">
      <c r="A28" t="s">
        <v>56</v>
      </c>
      <c r="B28" t="s">
        <v>57</v>
      </c>
      <c r="C28">
        <v>9</v>
      </c>
      <c r="D28">
        <v>2</v>
      </c>
      <c r="E28" s="1">
        <v>14261.76</v>
      </c>
      <c r="F28" s="1">
        <v>28523.52</v>
      </c>
    </row>
    <row r="29" spans="1:6" x14ac:dyDescent="0.3">
      <c r="A29" t="s">
        <v>58</v>
      </c>
      <c r="B29" t="s">
        <v>59</v>
      </c>
      <c r="C29">
        <v>9</v>
      </c>
      <c r="D29">
        <v>1</v>
      </c>
      <c r="E29" s="1">
        <v>10737.57</v>
      </c>
      <c r="F29" s="1">
        <v>10737.57</v>
      </c>
    </row>
    <row r="30" spans="1:6" x14ac:dyDescent="0.3">
      <c r="A30" t="s">
        <v>60</v>
      </c>
      <c r="B30" t="s">
        <v>61</v>
      </c>
      <c r="C30">
        <v>9</v>
      </c>
      <c r="D30">
        <v>1</v>
      </c>
      <c r="E30" s="1">
        <v>22344.07</v>
      </c>
      <c r="F30" s="1">
        <v>22344.07</v>
      </c>
    </row>
    <row r="31" spans="1:6" x14ac:dyDescent="0.3">
      <c r="A31" t="s">
        <v>62</v>
      </c>
      <c r="B31" t="s">
        <v>63</v>
      </c>
      <c r="C31">
        <v>9</v>
      </c>
      <c r="D31">
        <v>1</v>
      </c>
      <c r="E31" s="1">
        <v>57683.99</v>
      </c>
      <c r="F31" s="1">
        <v>57683.99</v>
      </c>
    </row>
    <row r="32" spans="1:6" x14ac:dyDescent="0.3">
      <c r="A32" t="s">
        <v>64</v>
      </c>
      <c r="B32" t="s">
        <v>65</v>
      </c>
      <c r="C32">
        <v>9</v>
      </c>
      <c r="D32">
        <v>1</v>
      </c>
      <c r="E32" s="1">
        <v>45296.86</v>
      </c>
      <c r="F32" s="1">
        <v>45296.86</v>
      </c>
    </row>
    <row r="33" spans="1:7" x14ac:dyDescent="0.3">
      <c r="A33" t="s">
        <v>66</v>
      </c>
      <c r="B33" t="s">
        <v>67</v>
      </c>
      <c r="C33">
        <v>9</v>
      </c>
      <c r="D33">
        <v>1</v>
      </c>
      <c r="E33" s="1">
        <v>24617.61</v>
      </c>
      <c r="F33" s="1">
        <v>24617.61</v>
      </c>
    </row>
    <row r="34" spans="1:7" x14ac:dyDescent="0.3">
      <c r="A34" t="s">
        <v>68</v>
      </c>
      <c r="B34" t="s">
        <v>69</v>
      </c>
      <c r="C34">
        <v>9</v>
      </c>
      <c r="D34">
        <v>1</v>
      </c>
      <c r="E34" s="1">
        <v>33846.97</v>
      </c>
      <c r="F34" s="1">
        <v>33846.97</v>
      </c>
    </row>
    <row r="35" spans="1:7" x14ac:dyDescent="0.3">
      <c r="A35" t="s">
        <v>50</v>
      </c>
      <c r="B35" t="s">
        <v>51</v>
      </c>
      <c r="C35">
        <v>9</v>
      </c>
      <c r="D35">
        <v>1</v>
      </c>
      <c r="E35" s="1">
        <v>14047.28</v>
      </c>
      <c r="F35" s="1">
        <v>14047.28</v>
      </c>
    </row>
    <row r="36" spans="1:7" x14ac:dyDescent="0.3">
      <c r="A36" t="s">
        <v>70</v>
      </c>
      <c r="B36" t="s">
        <v>71</v>
      </c>
      <c r="C36">
        <v>9</v>
      </c>
      <c r="D36">
        <v>1</v>
      </c>
      <c r="E36" s="1">
        <v>45868.68</v>
      </c>
      <c r="F36" s="1">
        <v>45868.68</v>
      </c>
    </row>
    <row r="37" spans="1:7" x14ac:dyDescent="0.3">
      <c r="A37" t="s">
        <v>72</v>
      </c>
      <c r="B37" t="s">
        <v>73</v>
      </c>
      <c r="C37">
        <v>9</v>
      </c>
      <c r="D37">
        <v>1</v>
      </c>
      <c r="E37" s="1">
        <v>54784.13</v>
      </c>
      <c r="F37" s="1">
        <v>54784.13</v>
      </c>
      <c r="G37" s="1">
        <f>SUM(F3:F37)</f>
        <v>641707.72000000009</v>
      </c>
    </row>
    <row r="38" spans="1:7" x14ac:dyDescent="0.3">
      <c r="A38" t="s">
        <v>75</v>
      </c>
    </row>
    <row r="39" spans="1:7" x14ac:dyDescent="0.3">
      <c r="A39" t="s">
        <v>76</v>
      </c>
      <c r="B39" t="s">
        <v>77</v>
      </c>
      <c r="C39">
        <v>9</v>
      </c>
      <c r="D39">
        <v>1</v>
      </c>
      <c r="E39" s="1">
        <f>F39/D39</f>
        <v>5210.47</v>
      </c>
      <c r="F39" s="1">
        <v>5210.47</v>
      </c>
    </row>
    <row r="40" spans="1:7" x14ac:dyDescent="0.3">
      <c r="A40" t="s">
        <v>78</v>
      </c>
      <c r="B40" t="s">
        <v>79</v>
      </c>
      <c r="C40">
        <v>9</v>
      </c>
      <c r="D40">
        <v>1</v>
      </c>
      <c r="E40" s="1">
        <f t="shared" ref="E40:E78" si="1">F40/D40</f>
        <v>7801.28</v>
      </c>
      <c r="F40" s="1">
        <v>7801.28</v>
      </c>
    </row>
    <row r="41" spans="1:7" x14ac:dyDescent="0.3">
      <c r="A41" t="s">
        <v>80</v>
      </c>
      <c r="B41" t="s">
        <v>81</v>
      </c>
      <c r="C41">
        <v>9</v>
      </c>
      <c r="D41">
        <v>2</v>
      </c>
      <c r="E41" s="1">
        <f t="shared" si="1"/>
        <v>4107.57</v>
      </c>
      <c r="F41" s="1">
        <v>8215.14</v>
      </c>
    </row>
    <row r="42" spans="1:7" x14ac:dyDescent="0.3">
      <c r="A42" t="s">
        <v>82</v>
      </c>
      <c r="B42" t="s">
        <v>83</v>
      </c>
      <c r="C42">
        <v>9</v>
      </c>
      <c r="D42">
        <v>1</v>
      </c>
      <c r="E42" s="1">
        <f t="shared" si="1"/>
        <v>4989.66</v>
      </c>
      <c r="F42" s="1">
        <v>4989.66</v>
      </c>
    </row>
    <row r="43" spans="1:7" x14ac:dyDescent="0.3">
      <c r="A43" t="s">
        <v>84</v>
      </c>
      <c r="B43" t="s">
        <v>85</v>
      </c>
      <c r="C43">
        <v>9</v>
      </c>
      <c r="D43">
        <v>1</v>
      </c>
      <c r="E43" s="1">
        <f t="shared" si="1"/>
        <v>26891.17</v>
      </c>
      <c r="F43" s="1">
        <v>26891.17</v>
      </c>
    </row>
    <row r="44" spans="1:7" x14ac:dyDescent="0.3">
      <c r="A44" t="s">
        <v>86</v>
      </c>
      <c r="B44" t="s">
        <v>87</v>
      </c>
      <c r="C44">
        <v>9</v>
      </c>
      <c r="D44">
        <v>1</v>
      </c>
      <c r="E44" s="1">
        <f t="shared" si="1"/>
        <v>22181.119999999999</v>
      </c>
      <c r="F44" s="1">
        <v>22181.119999999999</v>
      </c>
    </row>
    <row r="45" spans="1:7" x14ac:dyDescent="0.3">
      <c r="A45" t="s">
        <v>88</v>
      </c>
      <c r="B45" t="s">
        <v>89</v>
      </c>
      <c r="C45">
        <v>9</v>
      </c>
      <c r="D45">
        <v>1</v>
      </c>
      <c r="E45" s="1">
        <f t="shared" si="1"/>
        <v>25396.61</v>
      </c>
      <c r="F45" s="1">
        <v>25396.61</v>
      </c>
    </row>
    <row r="46" spans="1:7" x14ac:dyDescent="0.3">
      <c r="A46" t="s">
        <v>90</v>
      </c>
      <c r="B46" t="s">
        <v>91</v>
      </c>
      <c r="C46">
        <v>9</v>
      </c>
      <c r="D46">
        <v>1</v>
      </c>
      <c r="E46" s="1">
        <f t="shared" si="1"/>
        <v>5294.79</v>
      </c>
      <c r="F46" s="1">
        <v>5294.79</v>
      </c>
    </row>
    <row r="47" spans="1:7" x14ac:dyDescent="0.3">
      <c r="A47" t="s">
        <v>92</v>
      </c>
      <c r="B47" t="s">
        <v>93</v>
      </c>
      <c r="C47">
        <v>9</v>
      </c>
      <c r="D47">
        <v>1</v>
      </c>
      <c r="E47" s="1">
        <f t="shared" si="1"/>
        <v>5289.25</v>
      </c>
      <c r="F47" s="1">
        <v>5289.25</v>
      </c>
    </row>
    <row r="48" spans="1:7" x14ac:dyDescent="0.3">
      <c r="A48" t="s">
        <v>94</v>
      </c>
      <c r="B48" t="s">
        <v>95</v>
      </c>
      <c r="C48">
        <v>9</v>
      </c>
      <c r="D48">
        <v>1</v>
      </c>
      <c r="E48" s="1">
        <f t="shared" si="1"/>
        <v>2711.76</v>
      </c>
      <c r="F48" s="1">
        <v>2711.76</v>
      </c>
    </row>
    <row r="49" spans="1:6" x14ac:dyDescent="0.3">
      <c r="A49" t="s">
        <v>96</v>
      </c>
      <c r="B49" t="s">
        <v>97</v>
      </c>
      <c r="C49">
        <v>9</v>
      </c>
      <c r="D49">
        <v>3</v>
      </c>
      <c r="E49" s="1">
        <f t="shared" si="1"/>
        <v>3961.1200000000003</v>
      </c>
      <c r="F49" s="1">
        <v>11883.36</v>
      </c>
    </row>
    <row r="50" spans="1:6" x14ac:dyDescent="0.3">
      <c r="A50" t="s">
        <v>98</v>
      </c>
      <c r="B50" t="s">
        <v>99</v>
      </c>
      <c r="C50">
        <v>9</v>
      </c>
      <c r="D50">
        <v>1</v>
      </c>
      <c r="E50" s="1">
        <f t="shared" si="1"/>
        <v>46638.92</v>
      </c>
      <c r="F50" s="1">
        <v>46638.92</v>
      </c>
    </row>
    <row r="51" spans="1:6" x14ac:dyDescent="0.3">
      <c r="A51" t="s">
        <v>100</v>
      </c>
      <c r="B51" t="s">
        <v>101</v>
      </c>
      <c r="C51">
        <v>9</v>
      </c>
      <c r="D51">
        <v>1</v>
      </c>
      <c r="E51" s="1">
        <f t="shared" si="1"/>
        <v>37799.19</v>
      </c>
      <c r="F51" s="1">
        <v>37799.19</v>
      </c>
    </row>
    <row r="52" spans="1:6" x14ac:dyDescent="0.3">
      <c r="A52" t="s">
        <v>66</v>
      </c>
      <c r="B52" t="s">
        <v>67</v>
      </c>
      <c r="C52">
        <v>9</v>
      </c>
      <c r="D52">
        <v>1</v>
      </c>
      <c r="E52" s="1">
        <f t="shared" si="1"/>
        <v>24617.61</v>
      </c>
      <c r="F52" s="1">
        <v>24617.61</v>
      </c>
    </row>
    <row r="53" spans="1:6" x14ac:dyDescent="0.3">
      <c r="A53" t="s">
        <v>102</v>
      </c>
      <c r="B53" t="s">
        <v>103</v>
      </c>
      <c r="C53">
        <v>9</v>
      </c>
      <c r="D53">
        <v>1</v>
      </c>
      <c r="E53" s="1">
        <f t="shared" si="1"/>
        <v>9098.68</v>
      </c>
      <c r="F53" s="1">
        <v>9098.68</v>
      </c>
    </row>
    <row r="54" spans="1:6" x14ac:dyDescent="0.3">
      <c r="A54" t="s">
        <v>104</v>
      </c>
      <c r="B54" t="s">
        <v>105</v>
      </c>
      <c r="C54">
        <v>9</v>
      </c>
      <c r="D54">
        <v>1</v>
      </c>
      <c r="E54" s="1">
        <f t="shared" si="1"/>
        <v>32545.47</v>
      </c>
      <c r="F54" s="1">
        <v>32545.47</v>
      </c>
    </row>
    <row r="55" spans="1:6" x14ac:dyDescent="0.3">
      <c r="A55" t="s">
        <v>106</v>
      </c>
      <c r="B55" t="s">
        <v>107</v>
      </c>
      <c r="C55">
        <v>9</v>
      </c>
      <c r="D55">
        <v>2</v>
      </c>
      <c r="E55" s="1">
        <f t="shared" si="1"/>
        <v>21150.560000000001</v>
      </c>
      <c r="F55" s="1">
        <v>42301.120000000003</v>
      </c>
    </row>
    <row r="56" spans="1:6" x14ac:dyDescent="0.3">
      <c r="A56" t="s">
        <v>108</v>
      </c>
      <c r="B56" t="s">
        <v>109</v>
      </c>
      <c r="C56">
        <v>9</v>
      </c>
      <c r="D56">
        <v>1</v>
      </c>
      <c r="E56" s="1">
        <f t="shared" si="1"/>
        <v>79000.72</v>
      </c>
      <c r="F56" s="1">
        <v>79000.72</v>
      </c>
    </row>
    <row r="57" spans="1:6" x14ac:dyDescent="0.3">
      <c r="A57" t="s">
        <v>110</v>
      </c>
      <c r="B57" t="s">
        <v>111</v>
      </c>
      <c r="C57">
        <v>9</v>
      </c>
      <c r="D57">
        <v>3</v>
      </c>
      <c r="E57" s="1">
        <f t="shared" si="1"/>
        <v>53812.390000000007</v>
      </c>
      <c r="F57" s="1">
        <v>161437.17000000001</v>
      </c>
    </row>
    <row r="58" spans="1:6" x14ac:dyDescent="0.3">
      <c r="A58" t="s">
        <v>56</v>
      </c>
      <c r="B58" t="s">
        <v>57</v>
      </c>
      <c r="C58">
        <v>9</v>
      </c>
      <c r="D58">
        <v>1</v>
      </c>
      <c r="E58" s="1">
        <f t="shared" si="1"/>
        <v>14261.76</v>
      </c>
      <c r="F58" s="1">
        <v>14261.76</v>
      </c>
    </row>
    <row r="59" spans="1:6" x14ac:dyDescent="0.3">
      <c r="A59" t="s">
        <v>112</v>
      </c>
      <c r="B59" t="s">
        <v>113</v>
      </c>
      <c r="C59">
        <v>9</v>
      </c>
      <c r="D59">
        <v>1</v>
      </c>
      <c r="E59" s="1">
        <f t="shared" si="1"/>
        <v>5096.5200000000004</v>
      </c>
      <c r="F59" s="1">
        <v>5096.5200000000004</v>
      </c>
    </row>
    <row r="60" spans="1:6" x14ac:dyDescent="0.3">
      <c r="A60" t="s">
        <v>114</v>
      </c>
      <c r="B60" t="s">
        <v>115</v>
      </c>
      <c r="C60">
        <v>9</v>
      </c>
      <c r="D60">
        <v>1</v>
      </c>
      <c r="E60" s="1">
        <f t="shared" si="1"/>
        <v>16289.93</v>
      </c>
      <c r="F60" s="1">
        <v>16289.93</v>
      </c>
    </row>
    <row r="61" spans="1:6" x14ac:dyDescent="0.3">
      <c r="A61" t="s">
        <v>116</v>
      </c>
      <c r="B61" t="s">
        <v>117</v>
      </c>
      <c r="C61">
        <v>9</v>
      </c>
      <c r="D61">
        <v>1</v>
      </c>
      <c r="E61" s="1">
        <f t="shared" si="1"/>
        <v>10820.51</v>
      </c>
      <c r="F61" s="1">
        <v>10820.51</v>
      </c>
    </row>
    <row r="62" spans="1:6" x14ac:dyDescent="0.3">
      <c r="A62" t="s">
        <v>118</v>
      </c>
      <c r="B62" t="s">
        <v>119</v>
      </c>
      <c r="C62">
        <v>9</v>
      </c>
      <c r="D62">
        <v>1</v>
      </c>
      <c r="E62" s="1">
        <f t="shared" si="1"/>
        <v>10820.51</v>
      </c>
      <c r="F62" s="1">
        <v>10820.51</v>
      </c>
    </row>
    <row r="63" spans="1:6" x14ac:dyDescent="0.3">
      <c r="A63" t="s">
        <v>120</v>
      </c>
      <c r="B63" t="s">
        <v>121</v>
      </c>
      <c r="C63">
        <v>9</v>
      </c>
      <c r="D63">
        <v>1</v>
      </c>
      <c r="E63" s="1">
        <f t="shared" si="1"/>
        <v>10820.51</v>
      </c>
      <c r="F63" s="1">
        <v>10820.51</v>
      </c>
    </row>
    <row r="64" spans="1:6" x14ac:dyDescent="0.3">
      <c r="A64" t="s">
        <v>122</v>
      </c>
      <c r="B64" t="s">
        <v>123</v>
      </c>
      <c r="C64">
        <v>9</v>
      </c>
      <c r="D64">
        <v>1</v>
      </c>
      <c r="E64" s="1">
        <f t="shared" si="1"/>
        <v>14800.34</v>
      </c>
      <c r="F64" s="1">
        <v>14800.34</v>
      </c>
    </row>
    <row r="65" spans="1:7" x14ac:dyDescent="0.3">
      <c r="A65" t="s">
        <v>124</v>
      </c>
      <c r="B65" t="s">
        <v>125</v>
      </c>
      <c r="C65">
        <v>9</v>
      </c>
      <c r="D65">
        <v>1</v>
      </c>
      <c r="E65" s="1">
        <f t="shared" si="1"/>
        <v>19114.72</v>
      </c>
      <c r="F65" s="1">
        <v>19114.72</v>
      </c>
    </row>
    <row r="66" spans="1:7" x14ac:dyDescent="0.3">
      <c r="A66" t="s">
        <v>126</v>
      </c>
      <c r="B66" t="s">
        <v>127</v>
      </c>
      <c r="C66">
        <v>9</v>
      </c>
      <c r="D66">
        <v>1</v>
      </c>
      <c r="E66" s="1">
        <f t="shared" si="1"/>
        <v>19179.77</v>
      </c>
      <c r="F66" s="1">
        <v>19179.77</v>
      </c>
    </row>
    <row r="67" spans="1:7" x14ac:dyDescent="0.3">
      <c r="A67" t="s">
        <v>26</v>
      </c>
      <c r="B67" t="s">
        <v>27</v>
      </c>
      <c r="C67">
        <v>9</v>
      </c>
      <c r="D67">
        <v>1</v>
      </c>
      <c r="E67" s="1">
        <f t="shared" si="1"/>
        <v>1950.59</v>
      </c>
      <c r="F67" s="1">
        <v>1950.59</v>
      </c>
    </row>
    <row r="68" spans="1:7" x14ac:dyDescent="0.3">
      <c r="A68" t="s">
        <v>128</v>
      </c>
      <c r="B68" t="s">
        <v>129</v>
      </c>
      <c r="C68">
        <v>9</v>
      </c>
      <c r="D68">
        <v>2</v>
      </c>
      <c r="E68" s="1">
        <f t="shared" si="1"/>
        <v>2920.35</v>
      </c>
      <c r="F68" s="1">
        <v>5840.7</v>
      </c>
    </row>
    <row r="69" spans="1:7" x14ac:dyDescent="0.3">
      <c r="A69" t="s">
        <v>130</v>
      </c>
      <c r="B69" t="s">
        <v>131</v>
      </c>
      <c r="C69">
        <v>9</v>
      </c>
      <c r="D69">
        <v>1</v>
      </c>
      <c r="E69" s="1">
        <f t="shared" si="1"/>
        <v>3740.3</v>
      </c>
      <c r="F69" s="1">
        <v>3740.3</v>
      </c>
    </row>
    <row r="70" spans="1:7" x14ac:dyDescent="0.3">
      <c r="A70" t="s">
        <v>132</v>
      </c>
      <c r="B70" t="s">
        <v>133</v>
      </c>
      <c r="C70">
        <v>9</v>
      </c>
      <c r="D70">
        <v>1</v>
      </c>
      <c r="E70" s="1">
        <f t="shared" si="1"/>
        <v>2852.66</v>
      </c>
      <c r="F70" s="1">
        <v>2852.66</v>
      </c>
    </row>
    <row r="71" spans="1:7" x14ac:dyDescent="0.3">
      <c r="A71" t="s">
        <v>134</v>
      </c>
      <c r="B71" t="s">
        <v>135</v>
      </c>
      <c r="C71">
        <v>9</v>
      </c>
      <c r="D71">
        <v>1</v>
      </c>
      <c r="E71" s="1">
        <f t="shared" si="1"/>
        <v>13458.9</v>
      </c>
      <c r="F71" s="1">
        <v>13458.9</v>
      </c>
    </row>
    <row r="72" spans="1:7" x14ac:dyDescent="0.3">
      <c r="A72" t="s">
        <v>136</v>
      </c>
      <c r="B72" t="s">
        <v>137</v>
      </c>
      <c r="C72">
        <v>9</v>
      </c>
      <c r="D72">
        <v>1</v>
      </c>
      <c r="E72" s="1">
        <f t="shared" si="1"/>
        <v>8648.98</v>
      </c>
      <c r="F72" s="1">
        <v>8648.98</v>
      </c>
    </row>
    <row r="73" spans="1:7" x14ac:dyDescent="0.3">
      <c r="A73" t="s">
        <v>138</v>
      </c>
      <c r="B73" t="s">
        <v>139</v>
      </c>
      <c r="C73">
        <v>9</v>
      </c>
      <c r="D73">
        <v>1</v>
      </c>
      <c r="E73" s="1">
        <f t="shared" si="1"/>
        <v>17729.57</v>
      </c>
      <c r="F73" s="1">
        <v>17729.57</v>
      </c>
    </row>
    <row r="74" spans="1:7" x14ac:dyDescent="0.3">
      <c r="A74" t="s">
        <v>140</v>
      </c>
      <c r="B74" t="s">
        <v>141</v>
      </c>
      <c r="C74">
        <v>9</v>
      </c>
      <c r="D74">
        <v>2</v>
      </c>
      <c r="E74" s="1">
        <f t="shared" si="1"/>
        <v>26955.52</v>
      </c>
      <c r="F74" s="1">
        <v>53911.040000000001</v>
      </c>
    </row>
    <row r="75" spans="1:7" x14ac:dyDescent="0.3">
      <c r="A75" t="s">
        <v>142</v>
      </c>
      <c r="B75" t="s">
        <v>143</v>
      </c>
      <c r="C75">
        <v>9</v>
      </c>
      <c r="D75">
        <v>2</v>
      </c>
      <c r="E75" s="1">
        <f t="shared" si="1"/>
        <v>17712.939999999999</v>
      </c>
      <c r="F75" s="1">
        <v>35425.879999999997</v>
      </c>
    </row>
    <row r="76" spans="1:7" x14ac:dyDescent="0.3">
      <c r="A76" t="s">
        <v>54</v>
      </c>
      <c r="B76" t="s">
        <v>55</v>
      </c>
      <c r="C76">
        <v>9</v>
      </c>
      <c r="D76">
        <v>1</v>
      </c>
      <c r="E76" s="1">
        <f t="shared" si="1"/>
        <v>10468.65</v>
      </c>
      <c r="F76" s="1">
        <v>10468.65</v>
      </c>
    </row>
    <row r="77" spans="1:7" x14ac:dyDescent="0.3">
      <c r="A77" t="s">
        <v>144</v>
      </c>
      <c r="B77" t="s">
        <v>145</v>
      </c>
      <c r="C77">
        <v>9</v>
      </c>
      <c r="D77">
        <v>1</v>
      </c>
      <c r="E77" s="1">
        <f t="shared" si="1"/>
        <v>10457.56</v>
      </c>
      <c r="F77" s="1">
        <v>10457.56</v>
      </c>
    </row>
    <row r="78" spans="1:7" x14ac:dyDescent="0.3">
      <c r="A78" t="s">
        <v>146</v>
      </c>
      <c r="B78" t="s">
        <v>147</v>
      </c>
      <c r="C78">
        <v>9</v>
      </c>
      <c r="D78">
        <v>4</v>
      </c>
      <c r="E78" s="1">
        <f t="shared" si="1"/>
        <v>1796.37</v>
      </c>
      <c r="F78" s="1">
        <v>7185.48</v>
      </c>
      <c r="G78" s="1">
        <f>SUM(F39:F78)</f>
        <v>852178.37000000011</v>
      </c>
    </row>
    <row r="79" spans="1:7" x14ac:dyDescent="0.3">
      <c r="A79" t="s">
        <v>148</v>
      </c>
    </row>
    <row r="80" spans="1:7" x14ac:dyDescent="0.3">
      <c r="A80" t="s">
        <v>149</v>
      </c>
      <c r="B80" t="s">
        <v>150</v>
      </c>
      <c r="C80">
        <v>9</v>
      </c>
      <c r="D80">
        <v>1</v>
      </c>
      <c r="E80" s="1">
        <v>171673.44</v>
      </c>
      <c r="F80" s="1">
        <v>171673.44</v>
      </c>
    </row>
    <row r="81" spans="1:6" x14ac:dyDescent="0.3">
      <c r="A81" t="s">
        <v>151</v>
      </c>
      <c r="B81" t="s">
        <v>152</v>
      </c>
      <c r="C81">
        <v>9</v>
      </c>
      <c r="D81">
        <v>1</v>
      </c>
      <c r="E81" s="1">
        <v>50089.94</v>
      </c>
      <c r="F81" s="1">
        <v>50089.94</v>
      </c>
    </row>
    <row r="82" spans="1:6" x14ac:dyDescent="0.3">
      <c r="A82" t="s">
        <v>153</v>
      </c>
      <c r="B82" t="s">
        <v>154</v>
      </c>
      <c r="C82">
        <v>9</v>
      </c>
      <c r="D82">
        <v>1</v>
      </c>
      <c r="E82" s="1">
        <v>210121.03</v>
      </c>
      <c r="F82" s="1">
        <v>210121.03</v>
      </c>
    </row>
    <row r="83" spans="1:6" x14ac:dyDescent="0.3">
      <c r="A83" t="s">
        <v>155</v>
      </c>
      <c r="B83" t="s">
        <v>156</v>
      </c>
      <c r="C83">
        <v>9</v>
      </c>
      <c r="D83">
        <v>1</v>
      </c>
      <c r="E83" s="1">
        <v>38330.230000000003</v>
      </c>
      <c r="F83" s="1">
        <v>38330.230000000003</v>
      </c>
    </row>
    <row r="84" spans="1:6" x14ac:dyDescent="0.3">
      <c r="A84" t="s">
        <v>157</v>
      </c>
      <c r="B84" t="s">
        <v>158</v>
      </c>
      <c r="C84">
        <v>9</v>
      </c>
      <c r="D84">
        <v>1</v>
      </c>
      <c r="E84" s="1">
        <v>8439.18</v>
      </c>
      <c r="F84" s="1">
        <v>8439.18</v>
      </c>
    </row>
    <row r="85" spans="1:6" x14ac:dyDescent="0.3">
      <c r="A85" t="s">
        <v>159</v>
      </c>
      <c r="B85" t="s">
        <v>160</v>
      </c>
      <c r="C85">
        <v>9</v>
      </c>
      <c r="D85">
        <v>1</v>
      </c>
      <c r="E85" s="1">
        <v>58727.92</v>
      </c>
      <c r="F85" s="1">
        <v>58727.92</v>
      </c>
    </row>
    <row r="86" spans="1:6" x14ac:dyDescent="0.3">
      <c r="A86" t="s">
        <v>161</v>
      </c>
      <c r="B86" t="s">
        <v>162</v>
      </c>
      <c r="C86">
        <v>9</v>
      </c>
      <c r="D86">
        <v>1</v>
      </c>
      <c r="E86" s="1">
        <v>50003.8</v>
      </c>
      <c r="F86" s="1">
        <v>50003.8</v>
      </c>
    </row>
    <row r="87" spans="1:6" x14ac:dyDescent="0.3">
      <c r="A87" t="s">
        <v>163</v>
      </c>
      <c r="B87" t="s">
        <v>164</v>
      </c>
      <c r="C87">
        <v>9</v>
      </c>
      <c r="D87">
        <v>1</v>
      </c>
      <c r="E87" s="1">
        <v>35178.47</v>
      </c>
      <c r="F87" s="1">
        <v>35178.47</v>
      </c>
    </row>
    <row r="88" spans="1:6" x14ac:dyDescent="0.3">
      <c r="A88" t="s">
        <v>165</v>
      </c>
      <c r="B88" t="s">
        <v>166</v>
      </c>
      <c r="C88">
        <v>9</v>
      </c>
      <c r="D88">
        <v>1</v>
      </c>
      <c r="E88" s="1">
        <v>37702.839999999997</v>
      </c>
      <c r="F88" s="1">
        <v>37702.839999999997</v>
      </c>
    </row>
    <row r="89" spans="1:6" x14ac:dyDescent="0.3">
      <c r="A89" t="s">
        <v>167</v>
      </c>
      <c r="B89" t="s">
        <v>168</v>
      </c>
      <c r="C89">
        <v>9</v>
      </c>
      <c r="D89">
        <v>1</v>
      </c>
      <c r="E89" s="1">
        <v>49895.62</v>
      </c>
      <c r="F89" s="1">
        <v>49895.62</v>
      </c>
    </row>
    <row r="90" spans="1:6" x14ac:dyDescent="0.3">
      <c r="A90" t="s">
        <v>169</v>
      </c>
      <c r="B90" t="s">
        <v>170</v>
      </c>
      <c r="C90">
        <v>9</v>
      </c>
      <c r="D90">
        <v>1</v>
      </c>
      <c r="E90" s="1">
        <v>20060.47</v>
      </c>
      <c r="F90" s="1">
        <v>20060.47</v>
      </c>
    </row>
    <row r="91" spans="1:6" x14ac:dyDescent="0.3">
      <c r="A91" t="s">
        <v>171</v>
      </c>
      <c r="B91" t="s">
        <v>172</v>
      </c>
      <c r="C91">
        <v>9</v>
      </c>
      <c r="D91">
        <v>1</v>
      </c>
      <c r="E91" s="1">
        <v>390102.85</v>
      </c>
      <c r="F91" s="1">
        <v>390102.85</v>
      </c>
    </row>
    <row r="92" spans="1:6" x14ac:dyDescent="0.3">
      <c r="A92" t="s">
        <v>173</v>
      </c>
      <c r="B92" t="s">
        <v>174</v>
      </c>
      <c r="C92">
        <v>9</v>
      </c>
      <c r="D92">
        <v>1</v>
      </c>
      <c r="E92" s="1">
        <v>602862.56999999995</v>
      </c>
      <c r="F92" s="1">
        <v>602862.56999999995</v>
      </c>
    </row>
    <row r="93" spans="1:6" x14ac:dyDescent="0.3">
      <c r="A93" t="s">
        <v>46</v>
      </c>
      <c r="B93" t="s">
        <v>47</v>
      </c>
      <c r="C93">
        <v>9</v>
      </c>
      <c r="D93">
        <v>1</v>
      </c>
      <c r="E93" s="1">
        <v>11072.94</v>
      </c>
      <c r="F93" s="1">
        <v>11072.94</v>
      </c>
    </row>
    <row r="94" spans="1:6" x14ac:dyDescent="0.3">
      <c r="A94" t="s">
        <v>175</v>
      </c>
      <c r="B94" t="s">
        <v>176</v>
      </c>
      <c r="C94">
        <v>9</v>
      </c>
      <c r="D94">
        <v>5</v>
      </c>
      <c r="E94" s="1">
        <v>21049.71</v>
      </c>
      <c r="F94" s="1">
        <v>105248.55</v>
      </c>
    </row>
    <row r="95" spans="1:6" x14ac:dyDescent="0.3">
      <c r="A95" t="s">
        <v>177</v>
      </c>
      <c r="B95" t="s">
        <v>178</v>
      </c>
      <c r="C95">
        <v>9</v>
      </c>
      <c r="D95">
        <v>2</v>
      </c>
      <c r="E95" s="1">
        <v>30074.799999999999</v>
      </c>
      <c r="F95" s="1">
        <v>60149.599999999999</v>
      </c>
    </row>
    <row r="96" spans="1:6" x14ac:dyDescent="0.3">
      <c r="A96" t="s">
        <v>179</v>
      </c>
      <c r="B96" t="s">
        <v>180</v>
      </c>
      <c r="C96">
        <v>9</v>
      </c>
      <c r="D96">
        <v>1</v>
      </c>
      <c r="E96" s="1">
        <v>19020.740000000002</v>
      </c>
      <c r="F96" s="1">
        <v>19020.740000000002</v>
      </c>
    </row>
    <row r="97" spans="1:6" x14ac:dyDescent="0.3">
      <c r="A97" t="s">
        <v>181</v>
      </c>
      <c r="B97" t="s">
        <v>182</v>
      </c>
      <c r="C97">
        <v>9</v>
      </c>
      <c r="D97">
        <v>1</v>
      </c>
      <c r="E97" s="1">
        <v>27361.51</v>
      </c>
      <c r="F97" s="1">
        <v>27361.51</v>
      </c>
    </row>
    <row r="98" spans="1:6" x14ac:dyDescent="0.3">
      <c r="A98" t="s">
        <v>183</v>
      </c>
      <c r="B98" t="s">
        <v>184</v>
      </c>
      <c r="C98">
        <v>9</v>
      </c>
      <c r="D98">
        <v>4</v>
      </c>
      <c r="E98" s="1">
        <v>15194.79</v>
      </c>
      <c r="F98" s="1">
        <v>60779.16</v>
      </c>
    </row>
    <row r="99" spans="1:6" x14ac:dyDescent="0.3">
      <c r="A99" t="s">
        <v>185</v>
      </c>
      <c r="B99" t="s">
        <v>186</v>
      </c>
      <c r="C99">
        <v>9</v>
      </c>
      <c r="D99">
        <v>3</v>
      </c>
      <c r="E99" s="1">
        <v>44951.03</v>
      </c>
      <c r="F99" s="1">
        <v>134853.09</v>
      </c>
    </row>
    <row r="100" spans="1:6" x14ac:dyDescent="0.3">
      <c r="A100" t="s">
        <v>187</v>
      </c>
      <c r="B100" t="s">
        <v>188</v>
      </c>
      <c r="C100">
        <v>9</v>
      </c>
      <c r="D100">
        <v>2</v>
      </c>
      <c r="E100" s="1">
        <v>74823.990000000005</v>
      </c>
      <c r="F100" s="1">
        <v>149647.98000000001</v>
      </c>
    </row>
    <row r="101" spans="1:6" x14ac:dyDescent="0.3">
      <c r="A101" t="s">
        <v>189</v>
      </c>
      <c r="B101" t="s">
        <v>190</v>
      </c>
      <c r="C101">
        <v>9</v>
      </c>
      <c r="D101">
        <v>1</v>
      </c>
      <c r="E101" s="1">
        <v>40737.57</v>
      </c>
      <c r="F101" s="1">
        <v>40737.57</v>
      </c>
    </row>
    <row r="102" spans="1:6" x14ac:dyDescent="0.3">
      <c r="A102" t="s">
        <v>52</v>
      </c>
      <c r="B102" t="s">
        <v>53</v>
      </c>
      <c r="C102">
        <v>9</v>
      </c>
      <c r="D102">
        <v>2</v>
      </c>
      <c r="E102" s="1">
        <v>60218.18</v>
      </c>
      <c r="F102" s="1">
        <v>120436.36</v>
      </c>
    </row>
    <row r="103" spans="1:6" x14ac:dyDescent="0.3">
      <c r="A103" t="s">
        <v>191</v>
      </c>
      <c r="B103" t="s">
        <v>192</v>
      </c>
      <c r="C103">
        <v>9</v>
      </c>
      <c r="D103">
        <v>2</v>
      </c>
      <c r="E103" s="1">
        <v>14800.34</v>
      </c>
      <c r="F103" s="1">
        <v>29600.68</v>
      </c>
    </row>
    <row r="104" spans="1:6" x14ac:dyDescent="0.3">
      <c r="A104" t="s">
        <v>193</v>
      </c>
      <c r="B104" t="s">
        <v>194</v>
      </c>
      <c r="C104">
        <v>9</v>
      </c>
      <c r="D104">
        <v>1</v>
      </c>
      <c r="E104" s="1">
        <v>14800.34</v>
      </c>
      <c r="F104" s="1">
        <v>14800.34</v>
      </c>
    </row>
    <row r="105" spans="1:6" x14ac:dyDescent="0.3">
      <c r="A105" t="s">
        <v>195</v>
      </c>
      <c r="B105" t="s">
        <v>196</v>
      </c>
      <c r="C105">
        <v>9</v>
      </c>
      <c r="D105">
        <v>1</v>
      </c>
      <c r="E105" s="1">
        <v>30607.53</v>
      </c>
      <c r="F105" s="1">
        <v>30607.53</v>
      </c>
    </row>
    <row r="106" spans="1:6" x14ac:dyDescent="0.3">
      <c r="A106" t="s">
        <v>197</v>
      </c>
      <c r="B106" t="s">
        <v>198</v>
      </c>
      <c r="C106">
        <v>9</v>
      </c>
      <c r="D106">
        <v>1</v>
      </c>
      <c r="E106" s="1">
        <v>8395.85</v>
      </c>
      <c r="F106" s="1">
        <v>8395.85</v>
      </c>
    </row>
    <row r="107" spans="1:6" x14ac:dyDescent="0.3">
      <c r="A107" t="s">
        <v>199</v>
      </c>
      <c r="B107" t="s">
        <v>200</v>
      </c>
      <c r="C107">
        <v>9</v>
      </c>
      <c r="D107">
        <v>2</v>
      </c>
      <c r="E107" s="1">
        <v>9521.98</v>
      </c>
      <c r="F107" s="1">
        <v>19043.96</v>
      </c>
    </row>
    <row r="108" spans="1:6" x14ac:dyDescent="0.3">
      <c r="A108" t="s">
        <v>201</v>
      </c>
      <c r="B108" t="s">
        <v>202</v>
      </c>
      <c r="C108">
        <v>9</v>
      </c>
      <c r="D108">
        <v>2</v>
      </c>
      <c r="E108" s="1">
        <v>10223.4</v>
      </c>
      <c r="F108" s="1">
        <v>20446.8</v>
      </c>
    </row>
    <row r="109" spans="1:6" x14ac:dyDescent="0.3">
      <c r="A109" t="s">
        <v>203</v>
      </c>
      <c r="B109" t="s">
        <v>204</v>
      </c>
      <c r="C109">
        <v>9</v>
      </c>
      <c r="D109">
        <v>2</v>
      </c>
      <c r="E109" s="1">
        <v>11303.89</v>
      </c>
      <c r="F109" s="1">
        <v>22607.78</v>
      </c>
    </row>
    <row r="110" spans="1:6" x14ac:dyDescent="0.3">
      <c r="A110" t="s">
        <v>205</v>
      </c>
      <c r="B110" t="s">
        <v>206</v>
      </c>
      <c r="C110">
        <v>9</v>
      </c>
      <c r="D110">
        <v>2</v>
      </c>
      <c r="E110" s="1">
        <v>12271.7</v>
      </c>
      <c r="F110" s="1">
        <v>24543.4</v>
      </c>
    </row>
    <row r="111" spans="1:6" x14ac:dyDescent="0.3">
      <c r="A111" t="s">
        <v>207</v>
      </c>
      <c r="B111" t="s">
        <v>208</v>
      </c>
      <c r="C111">
        <v>9</v>
      </c>
      <c r="D111">
        <v>1</v>
      </c>
      <c r="E111" s="1">
        <v>13775.84</v>
      </c>
      <c r="F111" s="1">
        <v>13775.84</v>
      </c>
    </row>
    <row r="112" spans="1:6" x14ac:dyDescent="0.3">
      <c r="A112" t="s">
        <v>209</v>
      </c>
      <c r="B112" t="s">
        <v>210</v>
      </c>
      <c r="C112">
        <v>9</v>
      </c>
      <c r="D112">
        <v>1</v>
      </c>
      <c r="E112" s="1">
        <v>17536.490000000002</v>
      </c>
      <c r="F112" s="1">
        <v>17536.490000000002</v>
      </c>
    </row>
    <row r="113" spans="1:7" x14ac:dyDescent="0.3">
      <c r="A113" t="s">
        <v>211</v>
      </c>
      <c r="B113" t="s">
        <v>212</v>
      </c>
      <c r="C113">
        <v>9</v>
      </c>
      <c r="D113">
        <v>1</v>
      </c>
      <c r="E113" s="1">
        <v>25818.14</v>
      </c>
      <c r="F113" s="1">
        <v>25818.14</v>
      </c>
    </row>
    <row r="114" spans="1:7" x14ac:dyDescent="0.3">
      <c r="A114" t="s">
        <v>213</v>
      </c>
      <c r="B114" t="s">
        <v>214</v>
      </c>
      <c r="C114">
        <v>9</v>
      </c>
      <c r="D114">
        <v>1</v>
      </c>
      <c r="E114" s="1">
        <v>4107.57</v>
      </c>
      <c r="F114" s="1">
        <v>4107.57</v>
      </c>
    </row>
    <row r="115" spans="1:7" x14ac:dyDescent="0.3">
      <c r="A115" t="s">
        <v>22</v>
      </c>
      <c r="B115" t="s">
        <v>23</v>
      </c>
      <c r="C115">
        <v>9</v>
      </c>
      <c r="D115">
        <v>1</v>
      </c>
      <c r="E115" s="1">
        <v>3865.68</v>
      </c>
      <c r="F115" s="1">
        <v>3865.68</v>
      </c>
    </row>
    <row r="116" spans="1:7" x14ac:dyDescent="0.3">
      <c r="A116" t="s">
        <v>215</v>
      </c>
      <c r="B116" t="s">
        <v>216</v>
      </c>
      <c r="C116">
        <v>9</v>
      </c>
      <c r="D116">
        <v>1</v>
      </c>
      <c r="E116" s="1">
        <v>34833</v>
      </c>
      <c r="F116" s="1">
        <v>34833</v>
      </c>
    </row>
    <row r="117" spans="1:7" x14ac:dyDescent="0.3">
      <c r="A117" t="s">
        <v>217</v>
      </c>
      <c r="B117" t="s">
        <v>218</v>
      </c>
      <c r="C117">
        <v>9</v>
      </c>
      <c r="D117">
        <v>1</v>
      </c>
      <c r="E117" s="1">
        <v>2361.13</v>
      </c>
      <c r="F117" s="1">
        <v>2361.13</v>
      </c>
      <c r="G117" s="1">
        <f>SUM(F80:F117)</f>
        <v>2724840.0499999989</v>
      </c>
    </row>
    <row r="119" spans="1:7" x14ac:dyDescent="0.3">
      <c r="G119" s="1">
        <f>G37+G78+G117</f>
        <v>4218726.1399999987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2026-01-23T08:31:40Z</dcterms:created>
  <dcterms:modified xsi:type="dcterms:W3CDTF">2026-01-23T08:36:24Z</dcterms:modified>
</cp:coreProperties>
</file>